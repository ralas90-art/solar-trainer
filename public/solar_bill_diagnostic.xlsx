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Diagnostic Tool" sheetId="1" state="visible" r:id="rId3"/>
    <sheet name="Instructions &amp; Thresholds" sheetId="2" state="visible" r:id="rId4"/>
  </sheets>
  <definedNames>
    <definedName function="false" hidden="false" localSheetId="0" name="_xlnm.Print_Area" vbProcedure="false">'Bill Diagnostic Tool'!$A$1:$F$30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<sst xmlns="http://schemas.openxmlformats.org/spreadsheetml/2006/main" count="86" uniqueCount="85">
  <si>
    <t xml:space="preserve">[YOUR COMPANY NAME]  —  Solar Bill Diagnostic &amp; Qualification Tool</t>
  </si>
  <si>
    <t xml:space="preserve">  Complete all yellow input fields. Qualification results calculate automatically.</t>
  </si>
  <si>
    <t xml:space="preserve">  SECTION 1 — HOMEOWNER &amp; BILL DATA  (Enter values in yellow cells)</t>
  </si>
  <si>
    <t xml:space="preserve">Field / Description</t>
  </si>
  <si>
    <t xml:space="preserve">Input Value</t>
  </si>
  <si>
    <t xml:space="preserve">Format / Guidance</t>
  </si>
  <si>
    <t xml:space="preserve">Notes</t>
  </si>
  <si>
    <t xml:space="preserve">Homeowner Name</t>
  </si>
  <si>
    <t xml:space="preserve">Text — Full Name</t>
  </si>
  <si>
    <t xml:space="preserve">First and last name of primary applicant</t>
  </si>
  <si>
    <t xml:space="preserve">Past Due Utility Balance ($)</t>
  </si>
  <si>
    <t xml:space="preserve">Dollar amount  (e.g. 0, 250, 750)</t>
  </si>
  <si>
    <t xml:space="preserve">Amount currently overdue on utility account</t>
  </si>
  <si>
    <t xml:space="preserve">Total Trailing 12-Month Usage (kWh)</t>
  </si>
  <si>
    <t xml:space="preserve">Number  (e.g. 9600)</t>
  </si>
  <si>
    <t xml:space="preserve">Sum of all 12 monthly kWh figures from bill</t>
  </si>
  <si>
    <t xml:space="preserve">Average Monthly Bill ($)</t>
  </si>
  <si>
    <t xml:space="preserve">Dollar amount  (e.g. 145.00)</t>
  </si>
  <si>
    <t xml:space="preserve">Total annual bill ÷ 12  OR  stated average</t>
  </si>
  <si>
    <t xml:space="preserve">Requested System Offset (%)</t>
  </si>
  <si>
    <t xml:space="preserve">Percent  (e.g. 80 for 80%)</t>
  </si>
  <si>
    <t xml:space="preserve">% of usage customer wants solar to cover</t>
  </si>
  <si>
    <t xml:space="preserve">  SECTION 2 — SYSTEM ESTIMATES  (Auto-Calculated)</t>
  </si>
  <si>
    <t xml:space="preserve">Metric</t>
  </si>
  <si>
    <t xml:space="preserve">Calculated Value</t>
  </si>
  <si>
    <t xml:space="preserve">Formula Used</t>
  </si>
  <si>
    <t xml:space="preserve">Interpretation</t>
  </si>
  <si>
    <t xml:space="preserve">Estimated System Size (kW)</t>
  </si>
  <si>
    <t xml:space="preserve">kWh Used × Offset% ÷ 1,400 kWh/kW</t>
  </si>
  <si>
    <t xml:space="preserve">Assumes 1,400 kWh/kW/yr (adj. by region)</t>
  </si>
  <si>
    <t xml:space="preserve">Estimated Annual Production (kWh)</t>
  </si>
  <si>
    <t xml:space="preserve">System Size × 1,400 kWh/kW</t>
  </si>
  <si>
    <t xml:space="preserve">Projected annual solar output</t>
  </si>
  <si>
    <t xml:space="preserve">Estimated Monthly Bill Offset ($)</t>
  </si>
  <si>
    <t xml:space="preserve">Avg Monthly Bill × Offset%</t>
  </si>
  <si>
    <t xml:space="preserve">Approx. monthly savings on utility bill</t>
  </si>
  <si>
    <t xml:space="preserve">  SECTION 3 — QUALIFICATION CHECKS  (Auto-Calculated — Do Not Edit)</t>
  </si>
  <si>
    <t xml:space="preserve">Qualification Criterion</t>
  </si>
  <si>
    <t xml:space="preserve">Threshold / Rule</t>
  </si>
  <si>
    <t xml:space="preserve">Result</t>
  </si>
  <si>
    <t xml:space="preserve">Action Required</t>
  </si>
  <si>
    <t xml:space="preserve">Credit Risk Check</t>
  </si>
  <si>
    <t xml:space="preserve">Past Due Balance  ≤  $500</t>
  </si>
  <si>
    <t xml:space="preserve">Proceed to next check.</t>
  </si>
  <si>
    <t xml:space="preserve">Minimum Bill Check</t>
  </si>
  <si>
    <t xml:space="preserve">Average Monthly Bill  ≥  $100</t>
  </si>
  <si>
    <t xml:space="preserve">Offset Reasonableness Check</t>
  </si>
  <si>
    <t xml:space="preserve">Requested Offset  between 50% – 120%</t>
  </si>
  <si>
    <t xml:space="preserve">Offset is within standard design range.</t>
  </si>
  <si>
    <t xml:space="preserve">Sales Representative Name:</t>
  </si>
  <si>
    <t xml:space="preserve">Date of Assessment:</t>
  </si>
  <si>
    <t xml:space="preserve">[YOUR COMPANY NAME]  |  Solar Bill Diagnostic Tool  |  For Internal Sales Use Only  |  Confidential &amp; Proprietary</t>
  </si>
  <si>
    <t xml:space="preserve">INSTRUCTIONS &amp; QUALIFICATION THRESHOLDS</t>
  </si>
  <si>
    <t xml:space="preserve">HOW TO USE THIS TOOL</t>
  </si>
  <si>
    <t xml:space="preserve">Step 1</t>
  </si>
  <si>
    <t xml:space="preserve">Collect the homeowner's utility bill for the past 12 months.</t>
  </si>
  <si>
    <t xml:space="preserve">Step 2</t>
  </si>
  <si>
    <t xml:space="preserve">Enter all 5 data points in the yellow input cells on the 'Bill Diagnostic Tool' tab.</t>
  </si>
  <si>
    <t xml:space="preserve">Step 3</t>
  </si>
  <si>
    <t xml:space="preserve">Review the qualification check results in Section 3.</t>
  </si>
  <si>
    <t xml:space="preserve">Step 4</t>
  </si>
  <si>
    <t xml:space="preserve">Note the Overall Qualification Status (Row 25). This is your go/no-go signal.</t>
  </si>
  <si>
    <t xml:space="preserve">Step 5</t>
  </si>
  <si>
    <t xml:space="preserve">If APPROVED, proceed to system design. If NOT APPROVED, document the reason.</t>
  </si>
  <si>
    <t xml:space="preserve">QUALIFICATION THRESHOLDS</t>
  </si>
  <si>
    <t xml:space="preserve">Past Due Balance Limit</t>
  </si>
  <si>
    <t xml:space="preserve">Must be $500 or less. Over $500 triggers RED FLAG for credit risk.</t>
  </si>
  <si>
    <t xml:space="preserve">Minimum Monthly Bill</t>
  </si>
  <si>
    <t xml:space="preserve">Must be $100 or more. Below $100, the savings case does not justify a system.</t>
  </si>
  <si>
    <t xml:space="preserve">Offset Range</t>
  </si>
  <si>
    <t xml:space="preserve">Between 50% and 120% is standard. Flag any request outside this range for installer review.</t>
  </si>
  <si>
    <t xml:space="preserve">FORMULAS REFERENCE</t>
  </si>
  <si>
    <t xml:space="preserve">System Size (kW)</t>
  </si>
  <si>
    <t xml:space="preserve">(Annual kWh x Offset%) / 1,400 kWh/kW/yr</t>
  </si>
  <si>
    <t xml:space="preserve">Annual Production (kWh)</t>
  </si>
  <si>
    <t xml:space="preserve">System Size (kW) x 1,400 kWh/kW/yr</t>
  </si>
  <si>
    <t xml:space="preserve">Monthly Offset ($)</t>
  </si>
  <si>
    <t xml:space="preserve">Average Monthly Bill x Offset%</t>
  </si>
  <si>
    <t xml:space="preserve">IMPORTANT DISCLAIMERS</t>
  </si>
  <si>
    <t xml:space="preserve">Tax Credits</t>
  </si>
  <si>
    <t xml:space="preserve">NEVER promise or guarantee specific tax credit amounts. Always refer homeowner to a licensed tax professional.</t>
  </si>
  <si>
    <t xml:space="preserve">Savings Estimates</t>
  </si>
  <si>
    <t xml:space="preserve">All figures are estimates only. Actual savings depend on utility rates, usage patterns, and system performance.</t>
  </si>
  <si>
    <t xml:space="preserve">Credit Decisions</t>
  </si>
  <si>
    <t xml:space="preserve">This tool provides a screening only. Final credit decisions are made by the financing partner, not [YOUR COMPANY].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</si>
</sst>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\%"/>
    <numFmt numFmtId="168" formatCode="0.00&quot; kW&quot;"/>
    <numFmt numFmtId="169" formatCode="#,##0&quot; kWh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.5"/>
      <color rgb="FF1B2C3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C3E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1"/>
      <color rgb="FF0D1B2A"/>
      <name val="Arial"/>
      <family val="0"/>
      <charset val="1"/>
    </font>
    <font>
      <i val="true"/>
      <sz val="9"/>
      <color rgb="FF8FA8BE"/>
      <name val="Arial"/>
      <family val="0"/>
      <charset val="1"/>
    </font>
    <font>
      <sz val="9"/>
      <color rgb="FF8FA8BE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i val="true"/>
      <sz val="9.5"/>
      <color rgb="FF2C3E50"/>
      <name val="Arial"/>
      <family val="0"/>
      <charset val="1"/>
    </font>
    <font>
      <b val="true"/>
      <sz val="14"/>
      <color rgb="FF0D1B2A"/>
      <name val="Arial"/>
      <family val="0"/>
      <charset val="1"/>
    </font>
    <font>
      <b val="true"/>
      <sz val="9.5"/>
      <color rgb="FF2C3E50"/>
      <name val="Arial"/>
      <family val="0"/>
      <charset val="1"/>
    </font>
    <font>
      <sz val="9.5"/>
      <color rgb="FF0D1B2A"/>
      <name val="Arial"/>
      <family val="0"/>
      <charset val="1"/>
    </font>
    <font>
      <i val="true"/>
      <sz val="8"/>
      <color rgb="FF8FA8B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color rgb="FF2C3E5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4F6F9"/>
        <bgColor rgb="FFF0F7FF"/>
      </patternFill>
    </fill>
    <fill>
      <patternFill patternType="solid">
        <fgColor rgb="FF0D1B2A"/>
        <bgColor rgb="FF1B2C3E"/>
      </patternFill>
    </fill>
    <fill>
      <patternFill patternType="solid">
        <fgColor rgb="FFFFF8E1"/>
        <bgColor rgb="FFFFFDE7"/>
      </patternFill>
    </fill>
    <fill>
      <patternFill patternType="solid">
        <fgColor rgb="FFF5A623"/>
        <bgColor rgb="FFFFCC00"/>
      </patternFill>
    </fill>
    <fill>
      <patternFill patternType="solid">
        <fgColor rgb="FF2C3E50"/>
        <bgColor rgb="FF1B2C3E"/>
      </patternFill>
    </fill>
    <fill>
      <patternFill patternType="solid">
        <fgColor rgb="FFEBF2FA"/>
        <bgColor rgb="FFF0F7FF"/>
      </patternFill>
    </fill>
    <fill>
      <patternFill patternType="solid">
        <fgColor rgb="FFFFFDE7"/>
        <bgColor rgb="FFFFF8E1"/>
      </patternFill>
    </fill>
    <fill>
      <patternFill patternType="solid">
        <fgColor rgb="FF1B2C3E"/>
        <bgColor rgb="FF0D1B2A"/>
      </patternFill>
    </fill>
    <fill>
      <patternFill patternType="solid">
        <fgColor rgb="FFF0F7FF"/>
        <bgColor rgb="FFF4F6F9"/>
      </patternFill>
    </fill>
    <fill>
      <patternFill patternType="solid">
        <fgColor rgb="FFFFFFFF"/>
        <bgColor rgb="FFFFFDE7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5A623"/>
      </bottom>
      <diagonal/>
    </border>
    <border diagonalUp="false" diagonalDown="false">
      <left/>
      <right/>
      <top/>
      <bottom style="medium">
        <color rgb="FFA8C0D6"/>
      </bottom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 diagonalUp="false" diagonalDown="false">
      <left style="medium">
        <color rgb="FFF5A623"/>
      </left>
      <right style="medium">
        <color rgb="FFF5A623"/>
      </right>
      <top style="thin">
        <color rgb="FFF5A623"/>
      </top>
      <bottom style="thin">
        <color rgb="FFF5A623"/>
      </bottom>
      <diagonal/>
    </border>
    <border diagonalUp="false" diagonalDown="false">
      <left style="thin">
        <color rgb="FFA8C0D6"/>
      </left>
      <right style="thin">
        <color rgb="FFA8C0D6"/>
      </right>
      <top style="thin">
        <color rgb="FFA8C0D6"/>
      </top>
      <bottom style="thin">
        <color rgb="FFA8C0D6"/>
      </bottom>
      <diagonal/>
    </border>
    <border diagonalUp="false" diagonalDown="false">
      <left style="medium">
        <color rgb="FF1B2C3E"/>
      </left>
      <right style="medium">
        <color rgb="FF1B2C3E"/>
      </right>
      <top style="thin">
        <color rgb="FFD0D8E4"/>
      </top>
      <bottom style="thin">
        <color rgb="FFD0D8E4"/>
      </bottom>
      <diagonal/>
    </border>
    <border diagonalUp="false" diagonalDown="false">
      <left style="medium">
        <color rgb="FF1B2C3E"/>
      </left>
      <right/>
      <top style="medium">
        <color rgb="FF1B2C3E"/>
      </top>
      <bottom style="medium">
        <color rgb="FF1B2C3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7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B71C1C"/>
        <sz val="10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2E7D32"/>
        <sz val="14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C62828"/>
        <sz val="14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E65100"/>
        <sz val="14"/>
      </font>
      <fill>
        <patternFill>
          <bgColor rgb="FFFFF8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A8C0D6"/>
      <rgbColor rgb="FF808080"/>
      <rgbColor rgb="FF9999FF"/>
      <rgbColor rgb="FFC62828"/>
      <rgbColor rgb="FFFFF8E1"/>
      <rgbColor rgb="FFE8F5E9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F0F7FF"/>
      <rgbColor rgb="FFFFFDE7"/>
      <rgbColor rgb="FFF4F6F9"/>
      <rgbColor rgb="FFFF99CC"/>
      <rgbColor rgb="FFCC99FF"/>
      <rgbColor rgb="FFFFEBEE"/>
      <rgbColor rgb="FF3366FF"/>
      <rgbColor rgb="FF33CCCC"/>
      <rgbColor rgb="FF99CC00"/>
      <rgbColor rgb="FFFFCC00"/>
      <rgbColor rgb="FFF5A623"/>
      <rgbColor rgb="FFE65100"/>
      <rgbColor rgb="FF666699"/>
      <rgbColor rgb="FF8FA8BE"/>
      <rgbColor rgb="FF1B2C3E"/>
      <rgbColor rgb="FF2E7D32"/>
      <rgbColor rgb="FF0D1B2A"/>
      <rgbColor rgb="FF333300"/>
      <rgbColor rgb="FFB71C1C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tru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2.5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</row>
    <row r="2" customFormat="false" ht="42" hidden="false" customHeight="true" outlineLevel="0" collapsed="false">
      <c r="A2" s="3" t="s">
        <v>0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1</v>
      </c>
      <c r="B3" s="4"/>
      <c r="C3" s="4"/>
      <c r="D3" s="4"/>
      <c r="E3" s="4"/>
      <c r="F3" s="4"/>
    </row>
    <row r="4" customFormat="false" ht="9.75" hidden="false" customHeight="true" outlineLevel="0" collapsed="false">
      <c r="A4" s="2"/>
      <c r="B4" s="2"/>
      <c r="C4" s="2"/>
      <c r="D4" s="2"/>
      <c r="E4" s="2"/>
      <c r="F4" s="2"/>
    </row>
    <row r="5" customFormat="false" ht="19.5" hidden="false" customHeight="true" outlineLevel="0" collapsed="false">
      <c r="A5" s="5"/>
      <c r="B5" s="6" t="s">
        <v>2</v>
      </c>
      <c r="C5" s="6"/>
      <c r="D5" s="6"/>
      <c r="E5" s="6"/>
      <c r="F5" s="2"/>
    </row>
    <row r="6" customFormat="false" ht="15.75" hidden="false" customHeight="true" outlineLevel="0" collapsed="false">
      <c r="A6" s="2"/>
      <c r="B6" s="7" t="s">
        <v>3</v>
      </c>
      <c r="C6" s="7" t="s">
        <v>4</v>
      </c>
      <c r="D6" s="7" t="s">
        <v>5</v>
      </c>
      <c r="E6" s="7" t="s">
        <v>6</v>
      </c>
      <c r="F6" s="2"/>
    </row>
    <row r="7" customFormat="false" ht="31.5" hidden="false" customHeight="true" outlineLevel="0" collapsed="false">
      <c r="A7" s="2"/>
      <c r="B7" s="8" t="s">
        <v>7</v>
      </c>
      <c r="C7" s="9"/>
      <c r="D7" s="10" t="s">
        <v>8</v>
      </c>
      <c r="E7" s="11" t="s">
        <v>9</v>
      </c>
      <c r="F7" s="2"/>
    </row>
    <row r="8" customFormat="false" ht="31.5" hidden="false" customHeight="true" outlineLevel="0" collapsed="false">
      <c r="A8" s="2"/>
      <c r="B8" s="8" t="s">
        <v>10</v>
      </c>
      <c r="C8" s="12" t="n">
        <v>0</v>
      </c>
      <c r="D8" s="10" t="s">
        <v>11</v>
      </c>
      <c r="E8" s="11" t="s">
        <v>12</v>
      </c>
      <c r="F8" s="2"/>
    </row>
    <row r="9" customFormat="false" ht="31.5" hidden="false" customHeight="true" outlineLevel="0" collapsed="false">
      <c r="A9" s="2"/>
      <c r="B9" s="8" t="s">
        <v>13</v>
      </c>
      <c r="C9" s="13" t="n">
        <v>0</v>
      </c>
      <c r="D9" s="10" t="s">
        <v>14</v>
      </c>
      <c r="E9" s="11" t="s">
        <v>15</v>
      </c>
      <c r="F9" s="2"/>
    </row>
    <row r="10" customFormat="false" ht="31.5" hidden="false" customHeight="true" outlineLevel="0" collapsed="false">
      <c r="A10" s="2"/>
      <c r="B10" s="8" t="s">
        <v>16</v>
      </c>
      <c r="C10" s="12" t="n">
        <v>0</v>
      </c>
      <c r="D10" s="10" t="s">
        <v>17</v>
      </c>
      <c r="E10" s="11" t="s">
        <v>18</v>
      </c>
      <c r="F10" s="2"/>
    </row>
    <row r="11" customFormat="false" ht="31.5" hidden="false" customHeight="true" outlineLevel="0" collapsed="false">
      <c r="A11" s="2"/>
      <c r="B11" s="8" t="s">
        <v>19</v>
      </c>
      <c r="C11" s="14" t="n">
        <v>80</v>
      </c>
      <c r="D11" s="10" t="s">
        <v>20</v>
      </c>
      <c r="E11" s="11" t="s">
        <v>21</v>
      </c>
      <c r="F11" s="2"/>
    </row>
    <row r="12" customFormat="false" ht="9.75" hidden="false" customHeight="true" outlineLevel="0" collapsed="false">
      <c r="A12" s="2"/>
      <c r="B12" s="2"/>
      <c r="C12" s="2"/>
      <c r="D12" s="2"/>
      <c r="E12" s="2"/>
      <c r="F12" s="2"/>
    </row>
    <row r="13" customFormat="false" ht="19.5" hidden="false" customHeight="true" outlineLevel="0" collapsed="false">
      <c r="A13" s="5"/>
      <c r="B13" s="15" t="s">
        <v>22</v>
      </c>
      <c r="C13" s="15"/>
      <c r="D13" s="15"/>
      <c r="E13" s="15"/>
      <c r="F13" s="2"/>
    </row>
    <row r="14" customFormat="false" ht="15.75" hidden="false" customHeight="true" outlineLevel="0" collapsed="false">
      <c r="A14" s="2"/>
      <c r="B14" s="7" t="s">
        <v>23</v>
      </c>
      <c r="C14" s="7" t="s">
        <v>24</v>
      </c>
      <c r="D14" s="7" t="s">
        <v>25</v>
      </c>
      <c r="E14" s="7" t="s">
        <v>26</v>
      </c>
      <c r="F14" s="2"/>
    </row>
    <row r="15" customFormat="false" ht="31.5" hidden="false" customHeight="true" outlineLevel="0" collapsed="false">
      <c r="A15" s="2"/>
      <c r="B15" s="8" t="s">
        <v>27</v>
      </c>
      <c r="C15" s="16" t="str">
        <f aca="false">IF(C9&gt;0, ROUND((C9*(C11/100))/1400, 2), "")</f>
        <v/>
      </c>
      <c r="D15" s="10" t="s">
        <v>28</v>
      </c>
      <c r="E15" s="11" t="s">
        <v>29</v>
      </c>
      <c r="F15" s="2"/>
    </row>
    <row r="16" customFormat="false" ht="31.5" hidden="false" customHeight="true" outlineLevel="0" collapsed="false">
      <c r="A16" s="2"/>
      <c r="B16" s="8" t="s">
        <v>30</v>
      </c>
      <c r="C16" s="17" t="str">
        <f aca="false">IF(C15&lt;&gt;"", ROUND(C15*1400, 0), "")</f>
        <v/>
      </c>
      <c r="D16" s="10" t="s">
        <v>31</v>
      </c>
      <c r="E16" s="11" t="s">
        <v>32</v>
      </c>
      <c r="F16" s="2"/>
    </row>
    <row r="17" customFormat="false" ht="31.5" hidden="false" customHeight="true" outlineLevel="0" collapsed="false">
      <c r="A17" s="2"/>
      <c r="B17" s="8" t="s">
        <v>33</v>
      </c>
      <c r="C17" s="18" t="str">
        <f aca="false">IF(C10&gt;0, ROUND(C10*(C11/100), 2), "")</f>
        <v/>
      </c>
      <c r="D17" s="10" t="s">
        <v>34</v>
      </c>
      <c r="E17" s="11" t="s">
        <v>35</v>
      </c>
      <c r="F17" s="2"/>
    </row>
    <row r="18" customFormat="false" ht="9.75" hidden="false" customHeight="true" outlineLevel="0" collapsed="false">
      <c r="A18" s="2"/>
      <c r="B18" s="2"/>
      <c r="C18" s="2"/>
      <c r="D18" s="2"/>
      <c r="E18" s="2"/>
      <c r="F18" s="2"/>
    </row>
    <row r="19" customFormat="false" ht="19.5" hidden="false" customHeight="true" outlineLevel="0" collapsed="false">
      <c r="A19" s="5"/>
      <c r="B19" s="6" t="s">
        <v>36</v>
      </c>
      <c r="C19" s="6"/>
      <c r="D19" s="6"/>
      <c r="E19" s="6"/>
      <c r="F19" s="2"/>
    </row>
    <row r="20" customFormat="false" ht="15.75" hidden="false" customHeight="true" outlineLevel="0" collapsed="false">
      <c r="A20" s="2"/>
      <c r="B20" s="7" t="s">
        <v>37</v>
      </c>
      <c r="C20" s="7" t="s">
        <v>38</v>
      </c>
      <c r="D20" s="7" t="s">
        <v>39</v>
      </c>
      <c r="E20" s="7" t="s">
        <v>40</v>
      </c>
      <c r="F20" s="2"/>
    </row>
    <row r="21" customFormat="false" ht="37.5" hidden="false" customHeight="true" outlineLevel="0" collapsed="false">
      <c r="A21" s="2"/>
      <c r="B21" s="8" t="s">
        <v>41</v>
      </c>
      <c r="C21" s="19" t="s">
        <v>42</v>
      </c>
      <c r="D21" s="20" t="str">
        <f aca="false">IF(C8="","Awaiting Input",IF(C8&gt;500,"🚩  RED FLAG: Credit Risk","✅  PASS — No Balance Issue"))</f>
        <v>✅  PASS — No Balance Issue</v>
      </c>
      <c r="E21" s="11" t="s">
        <v>43</v>
      </c>
      <c r="F21" s="2"/>
    </row>
    <row r="22" customFormat="false" ht="37.5" hidden="false" customHeight="true" outlineLevel="0" collapsed="false">
      <c r="A22" s="2"/>
      <c r="B22" s="8" t="s">
        <v>44</v>
      </c>
      <c r="C22" s="19" t="s">
        <v>45</v>
      </c>
      <c r="D22" s="20" t="str">
        <f aca="false">IF(C10="","Awaiting Input",IF(C10&lt;100,"⛔  DISQUALIFIED: Bill Too Low","✅  PASS — Bill Qualifies"))</f>
        <v>⛔  DISQUALIFIED: Bill Too Low</v>
      </c>
      <c r="E22" s="11" t="s">
        <v>43</v>
      </c>
      <c r="F22" s="2"/>
    </row>
    <row r="23" customFormat="false" ht="37.5" hidden="false" customHeight="true" outlineLevel="0" collapsed="false">
      <c r="A23" s="2"/>
      <c r="B23" s="8" t="s">
        <v>46</v>
      </c>
      <c r="C23" s="19" t="s">
        <v>47</v>
      </c>
      <c r="D23" s="20" t="str">
        <f aca="false">IF(C11="","Awaiting Input",IF(OR(C11&lt;50,C11&gt;120),"⚠️  WARNING: Offset Outside Normal Range","✅  PASS — Offset Is Reasonable"))</f>
        <v>✅  PASS — Offset Is Reasonable</v>
      </c>
      <c r="E23" s="11" t="s">
        <v>48</v>
      </c>
      <c r="F23" s="2"/>
    </row>
    <row r="24" customFormat="false" ht="9.75" hidden="false" customHeight="true" outlineLevel="0" collapsed="false">
      <c r="A24" s="2"/>
      <c r="B24" s="2"/>
      <c r="C24" s="2"/>
      <c r="D24" s="2"/>
      <c r="E24" s="2"/>
      <c r="F24" s="2"/>
    </row>
    <row r="25" customFormat="false" ht="45.75" hidden="false" customHeight="true" outlineLevel="0" collapsed="false">
      <c r="A25" s="5"/>
      <c r="B25" s="21" t="str">
        <f aca="false">IF(OR(C8="",C9="",C10="",C11=""), "⏳  AWAITING DATA — Complete all yellow input fields above",IF(OR(C8&gt;500,C10&lt;100,C11&lt;50,C11&gt;120),"⛔  NOT APPROVED — Review red/amber flags above before proceeding","✅  APPROVED FOR CONSULTATION — All criteria passed. Proceed to proposal."))</f>
        <v>⛔  NOT APPROVED — Review red/amber flags above before proceeding</v>
      </c>
      <c r="C25" s="21"/>
      <c r="D25" s="21"/>
      <c r="E25" s="21"/>
      <c r="F25" s="2"/>
    </row>
    <row r="26" customFormat="false" ht="9.75" hidden="false" customHeight="true" outlineLevel="0" collapsed="false">
      <c r="A26" s="2"/>
      <c r="B26" s="2"/>
      <c r="C26" s="2"/>
      <c r="D26" s="2"/>
      <c r="E26" s="2"/>
      <c r="F26" s="2"/>
    </row>
    <row r="27" customFormat="false" ht="21.75" hidden="false" customHeight="true" outlineLevel="0" collapsed="false">
      <c r="A27" s="2"/>
      <c r="B27" s="22" t="s">
        <v>49</v>
      </c>
      <c r="C27" s="23"/>
      <c r="D27" s="24"/>
      <c r="E27" s="24"/>
      <c r="F27" s="2"/>
    </row>
    <row r="28" customFormat="false" ht="21.75" hidden="false" customHeight="true" outlineLevel="0" collapsed="false">
      <c r="A28" s="2"/>
      <c r="B28" s="22" t="s">
        <v>50</v>
      </c>
      <c r="C28" s="25" t="str">
        <f aca="true">TEXT(TODAY(),"MMMM D, YYYY")</f>
        <v>February 22, 2026</v>
      </c>
      <c r="D28" s="24"/>
      <c r="E28" s="24"/>
      <c r="F28" s="2"/>
    </row>
    <row r="29" customFormat="false" ht="15.75" hidden="false" customHeight="true" outlineLevel="0" collapsed="false">
      <c r="A29" s="26" t="s">
        <v>51</v>
      </c>
      <c r="B29" s="26"/>
      <c r="C29" s="26"/>
      <c r="D29" s="26"/>
      <c r="E29" s="26"/>
      <c r="F29" s="26"/>
    </row>
    <row r="30" customFormat="false" ht="7.5" hidden="false" customHeight="true" outlineLevel="0" collapsed="false">
      <c r="A30" s="2"/>
      <c r="B30" s="2"/>
      <c r="C30" s="2"/>
      <c r="D30" s="2"/>
      <c r="E30" s="2"/>
      <c r="F30" s="2"/>
    </row>
  </sheetData>
  <mergeCells count="7">
    <mergeCell ref="A2:F2"/>
    <mergeCell ref="A3:F3"/>
    <mergeCell ref="B5:E5"/>
    <mergeCell ref="B13:E13"/>
    <mergeCell ref="B19:E19"/>
    <mergeCell ref="B25:E25"/>
    <mergeCell ref="A29:F29"/>
  </mergeCells>
  <conditionalFormatting sqref="D21">
    <cfRule type="expression" priority="2" aboveAverage="0" equalAverage="0" bottom="0" percent="0" rank="0" text="" dxfId="0">
      <formula>OR(ISNUMBER(SEARCH("RED FLAG",D21)),ISNUMBER(SEARCH("DISQUALIFIED",D21)),ISNUMBER(SEARCH("WARNING",D21)))</formula>
    </cfRule>
    <cfRule type="expression" priority="3" aboveAverage="0" equalAverage="0" bottom="0" percent="0" rank="0" text="" dxfId="1">
      <formula>ISNUMBER(SEARCH("PASS",D21))</formula>
    </cfRule>
  </conditionalFormatting>
  <conditionalFormatting sqref="D22">
    <cfRule type="expression" priority="4" aboveAverage="0" equalAverage="0" bottom="0" percent="0" rank="0" text="" dxfId="0">
      <formula>OR(ISNUMBER(SEARCH("RED FLAG",D22)),ISNUMBER(SEARCH("DISQUALIFIED",D22)),ISNUMBER(SEARCH("WARNING",D22)))</formula>
    </cfRule>
    <cfRule type="expression" priority="5" aboveAverage="0" equalAverage="0" bottom="0" percent="0" rank="0" text="" dxfId="1">
      <formula>ISNUMBER(SEARCH("PASS",D22))</formula>
    </cfRule>
  </conditionalFormatting>
  <conditionalFormatting sqref="D23">
    <cfRule type="expression" priority="6" aboveAverage="0" equalAverage="0" bottom="0" percent="0" rank="0" text="" dxfId="0">
      <formula>OR(ISNUMBER(SEARCH("RED FLAG",D23)),ISNUMBER(SEARCH("DISQUALIFIED",D23)),ISNUMBER(SEARCH("WARNING",D23)))</formula>
    </cfRule>
    <cfRule type="expression" priority="7" aboveAverage="0" equalAverage="0" bottom="0" percent="0" rank="0" text="" dxfId="1">
      <formula>ISNUMBER(SEARCH("PASS",D23))</formula>
    </cfRule>
  </conditionalFormatting>
  <conditionalFormatting sqref="B25:E25">
    <cfRule type="expression" priority="8" aboveAverage="0" equalAverage="0" bottom="0" percent="0" rank="0" text="" dxfId="2">
      <formula>ISNUMBER(SEARCH("APPROVED FOR CONSULTATION",$B$25))</formula>
    </cfRule>
    <cfRule type="expression" priority="9" aboveAverage="0" equalAverage="0" bottom="0" percent="0" rank="0" text="" dxfId="3">
      <formula>ISNUMBER(SEARCH("NOT APPROVED",$B$25))</formula>
    </cfRule>
    <cfRule type="expression" priority="10" aboveAverage="0" equalAverage="0" bottom="0" percent="0" rank="0" text="" dxfId="4">
      <formula>ISNUMBER(SEARCH("AWAITING",$B$25))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50"/>
    <col collapsed="false" customWidth="true" hidden="false" outlineLevel="0" max="4" min="4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27" t="s">
        <v>52</v>
      </c>
      <c r="B2" s="27"/>
      <c r="C2" s="27"/>
      <c r="D2" s="27"/>
    </row>
    <row r="3" customFormat="false" ht="19.5" hidden="false" customHeight="true" outlineLevel="0" collapsed="false"/>
    <row r="4" customFormat="false" ht="27.75" hidden="false" customHeight="true" outlineLevel="0" collapsed="false">
      <c r="A4" s="5"/>
      <c r="B4" s="28" t="s">
        <v>53</v>
      </c>
      <c r="C4" s="28"/>
      <c r="D4" s="2"/>
    </row>
    <row r="5" customFormat="false" ht="24" hidden="false" customHeight="true" outlineLevel="0" collapsed="false">
      <c r="A5" s="2"/>
      <c r="B5" s="29" t="s">
        <v>54</v>
      </c>
      <c r="C5" s="30" t="s">
        <v>55</v>
      </c>
      <c r="D5" s="2"/>
    </row>
    <row r="6" customFormat="false" ht="24" hidden="false" customHeight="true" outlineLevel="0" collapsed="false">
      <c r="A6" s="2"/>
      <c r="B6" s="29" t="s">
        <v>56</v>
      </c>
      <c r="C6" s="30" t="s">
        <v>57</v>
      </c>
      <c r="D6" s="2"/>
    </row>
    <row r="7" customFormat="false" ht="24" hidden="false" customHeight="true" outlineLevel="0" collapsed="false">
      <c r="A7" s="2"/>
      <c r="B7" s="29" t="s">
        <v>58</v>
      </c>
      <c r="C7" s="30" t="s">
        <v>59</v>
      </c>
      <c r="D7" s="2"/>
    </row>
    <row r="8" customFormat="false" ht="24" hidden="false" customHeight="true" outlineLevel="0" collapsed="false">
      <c r="A8" s="2"/>
      <c r="B8" s="29" t="s">
        <v>60</v>
      </c>
      <c r="C8" s="30" t="s">
        <v>61</v>
      </c>
      <c r="D8" s="2"/>
    </row>
    <row r="9" customFormat="false" ht="24" hidden="false" customHeight="true" outlineLevel="0" collapsed="false">
      <c r="A9" s="2"/>
      <c r="B9" s="29" t="s">
        <v>62</v>
      </c>
      <c r="C9" s="30" t="s">
        <v>63</v>
      </c>
      <c r="D9" s="2"/>
    </row>
    <row r="10" customFormat="false" ht="9.75" hidden="false" customHeight="true" outlineLevel="0" collapsed="false">
      <c r="A10" s="2"/>
      <c r="B10" s="2"/>
      <c r="C10" s="2"/>
      <c r="D10" s="2"/>
    </row>
    <row r="11" customFormat="false" ht="27.75" hidden="false" customHeight="true" outlineLevel="0" collapsed="false">
      <c r="A11" s="5"/>
      <c r="B11" s="28" t="s">
        <v>64</v>
      </c>
      <c r="C11" s="28"/>
      <c r="D11" s="2"/>
    </row>
    <row r="12" customFormat="false" ht="24" hidden="false" customHeight="true" outlineLevel="0" collapsed="false">
      <c r="A12" s="2"/>
      <c r="B12" s="29" t="s">
        <v>65</v>
      </c>
      <c r="C12" s="30" t="s">
        <v>66</v>
      </c>
      <c r="D12" s="2"/>
    </row>
    <row r="13" customFormat="false" ht="24" hidden="false" customHeight="true" outlineLevel="0" collapsed="false">
      <c r="A13" s="2"/>
      <c r="B13" s="29" t="s">
        <v>67</v>
      </c>
      <c r="C13" s="30" t="s">
        <v>68</v>
      </c>
      <c r="D13" s="2"/>
    </row>
    <row r="14" customFormat="false" ht="24" hidden="false" customHeight="true" outlineLevel="0" collapsed="false">
      <c r="A14" s="2"/>
      <c r="B14" s="29" t="s">
        <v>69</v>
      </c>
      <c r="C14" s="30" t="s">
        <v>70</v>
      </c>
      <c r="D14" s="2"/>
    </row>
    <row r="15" customFormat="false" ht="9.75" hidden="false" customHeight="true" outlineLevel="0" collapsed="false">
      <c r="A15" s="2"/>
      <c r="B15" s="2"/>
      <c r="C15" s="2"/>
      <c r="D15" s="2"/>
    </row>
    <row r="16" customFormat="false" ht="27.75" hidden="false" customHeight="true" outlineLevel="0" collapsed="false">
      <c r="A16" s="5"/>
      <c r="B16" s="28" t="s">
        <v>71</v>
      </c>
      <c r="C16" s="28"/>
      <c r="D16" s="2"/>
    </row>
    <row r="17" customFormat="false" ht="24" hidden="false" customHeight="true" outlineLevel="0" collapsed="false">
      <c r="A17" s="2"/>
      <c r="B17" s="29" t="s">
        <v>72</v>
      </c>
      <c r="C17" s="30" t="s">
        <v>73</v>
      </c>
      <c r="D17" s="2"/>
    </row>
    <row r="18" customFormat="false" ht="24" hidden="false" customHeight="true" outlineLevel="0" collapsed="false">
      <c r="A18" s="2"/>
      <c r="B18" s="29" t="s">
        <v>74</v>
      </c>
      <c r="C18" s="30" t="s">
        <v>75</v>
      </c>
      <c r="D18" s="2"/>
    </row>
    <row r="19" customFormat="false" ht="24" hidden="false" customHeight="true" outlineLevel="0" collapsed="false">
      <c r="A19" s="2"/>
      <c r="B19" s="29" t="s">
        <v>76</v>
      </c>
      <c r="C19" s="30" t="s">
        <v>77</v>
      </c>
      <c r="D19" s="2"/>
    </row>
    <row r="20" customFormat="false" ht="9.75" hidden="false" customHeight="true" outlineLevel="0" collapsed="false">
      <c r="A20" s="2"/>
      <c r="B20" s="2"/>
      <c r="C20" s="2"/>
      <c r="D20" s="2"/>
    </row>
    <row r="21" customFormat="false" ht="27.75" hidden="false" customHeight="true" outlineLevel="0" collapsed="false">
      <c r="A21" s="5"/>
      <c r="B21" s="28" t="s">
        <v>78</v>
      </c>
      <c r="C21" s="28"/>
      <c r="D21" s="2"/>
    </row>
    <row r="22" customFormat="false" ht="24" hidden="false" customHeight="true" outlineLevel="0" collapsed="false">
      <c r="A22" s="2"/>
      <c r="B22" s="29" t="s">
        <v>79</v>
      </c>
      <c r="C22" s="30" t="s">
        <v>80</v>
      </c>
      <c r="D22" s="2"/>
    </row>
    <row r="23" customFormat="false" ht="24" hidden="false" customHeight="true" outlineLevel="0" collapsed="false">
      <c r="A23" s="2"/>
      <c r="B23" s="29" t="s">
        <v>81</v>
      </c>
      <c r="C23" s="30" t="s">
        <v>82</v>
      </c>
      <c r="D23" s="2"/>
    </row>
    <row r="24" customFormat="false" ht="24" hidden="false" customHeight="true" outlineLevel="0" collapsed="false">
      <c r="A24" s="2"/>
      <c r="B24" s="29" t="s">
        <v>83</v>
      </c>
      <c r="C24" s="30" t="s">
        <v>84</v>
      </c>
      <c r="D24" s="2"/>
    </row>
  </sheetData>
  <mergeCells count="5">
    <mergeCell ref="A2:D2"/>
    <mergeCell ref="B4:C4"/>
    <mergeCell ref="B11:C11"/>
    <mergeCell ref="B16:C16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2026-02-22T15:59:25Z</dcterms:created>
  <dc:creator>openpyxl</dc:creator>
  <dc:description/>
  <dc:language>en-US</dc:language>
  <cp:lastModifiedBy/>
  <dcterms:modified xsi:type="dcterms:W3CDTF">2026-02-22T15:59:43Z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